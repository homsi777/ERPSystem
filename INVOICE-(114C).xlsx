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Print_Area" localSheetId="0">Sheet1!$A$1:$M$34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<sst xmlns="http://schemas.openxmlformats.org/spreadsheetml/2006/main" count="59" uniqueCount="48">
  <si>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浙江蓝之梦纺织有限公司</t>
  </si>
  <si>
    <r>
      <rPr>
        <b/>
        <sz val="12"/>
        <color theme="1"/>
        <rFont val="Times New Roman"/>
        <charset val="134"/>
      </rPr>
      <t>ZHEJIANG  BLUEDREAM  TEXTILE  CO.</t>
    </r>
    <r>
      <rPr>
        <b/>
        <sz val="12"/>
        <color theme="1"/>
        <rFont val="宋体"/>
        <charset val="134"/>
      </rPr>
      <t>，</t>
    </r>
    <r>
      <rPr>
        <b/>
        <sz val="12"/>
        <color theme="1"/>
        <rFont val="Times New Roman"/>
        <charset val="134"/>
      </rPr>
      <t>LTD.</t>
    </r>
  </si>
  <si>
    <t>ADD:NO.1515 DANXI ROAD, ECONOMIC DEVELOPMENT ZONE,LANXI,ZHEJIANG,CHINA 321100</t>
  </si>
  <si>
    <t>致：</t>
  </si>
  <si>
    <t>出口产品专用发票     INVOICE</t>
  </si>
  <si>
    <t>TO:
TAYYIB PLASTIK SANAYI VE TICARET LIMITED SIRKETI 
ADDRESS:KARATARLA MAH. KORUKCU SK.KORUKCU IS HANI BLOK NO:5 IC KAPI NO:208 SAHINBEY/GAZIANTEP                                                             TAX NO : 8330801432                                                                                                     TAX ADRES : SUBURCU VERGI DAIRESI MUD.                                                 TEL:+90 (535) 277 48 42</t>
  </si>
  <si>
    <t>发票编号：</t>
  </si>
  <si>
    <t>Invoice Number ：LZM114C26</t>
  </si>
  <si>
    <t xml:space="preserve">售货确认书号数： </t>
  </si>
  <si>
    <r>
      <rPr>
        <b/>
        <sz val="10"/>
        <rFont val="Times New Roman"/>
        <charset val="134"/>
      </rPr>
      <t xml:space="preserve">Sales Confirmation No. </t>
    </r>
    <r>
      <rPr>
        <b/>
        <u/>
        <sz val="10"/>
        <rFont val="Times New Roman"/>
        <charset val="134"/>
      </rPr>
      <t xml:space="preserve"> LZM-C260315030</t>
    </r>
  </si>
  <si>
    <t xml:space="preserve">日期：                                </t>
  </si>
  <si>
    <t>Date:26 MAR,2026</t>
  </si>
  <si>
    <r>
      <rPr>
        <b/>
        <sz val="10.5"/>
        <color theme="1"/>
        <rFont val="宋体"/>
        <charset val="134"/>
      </rPr>
      <t>装船口岸</t>
    </r>
    <r>
      <rPr>
        <b/>
        <sz val="10.5"/>
        <color theme="1"/>
        <rFont val="Times New Roman"/>
        <charset val="134"/>
      </rPr>
      <t xml:space="preserve">                              </t>
    </r>
    <r>
      <rPr>
        <b/>
        <sz val="10.5"/>
        <color theme="1"/>
        <rFont val="宋体"/>
        <charset val="134"/>
      </rPr>
      <t xml:space="preserve">  </t>
    </r>
    <r>
      <rPr>
        <b/>
        <sz val="10.5"/>
        <color theme="1"/>
        <rFont val="Times New Roman"/>
        <charset val="134"/>
      </rPr>
      <t xml:space="preserve"> </t>
    </r>
    <r>
      <rPr>
        <b/>
        <sz val="10.5"/>
        <color theme="1"/>
        <rFont val="宋体"/>
        <charset val="134"/>
      </rPr>
      <t xml:space="preserve">   </t>
    </r>
    <r>
      <rPr>
        <b/>
        <sz val="10.5"/>
        <color theme="1"/>
        <rFont val="Times New Roman"/>
        <charset val="134"/>
      </rPr>
      <t xml:space="preserve">  </t>
    </r>
    <r>
      <rPr>
        <b/>
        <sz val="10.5"/>
        <color theme="1"/>
        <rFont val="宋体"/>
        <charset val="134"/>
      </rPr>
      <t xml:space="preserve">    </t>
    </r>
  </si>
  <si>
    <t xml:space="preserve">目的地                            </t>
  </si>
  <si>
    <r>
      <rPr>
        <b/>
        <sz val="10.5"/>
        <color theme="1"/>
        <rFont val="Times New Roman"/>
        <charset val="134"/>
      </rPr>
      <t>From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 xml:space="preserve">    NINGBO , CHINA                                                                 </t>
    </r>
  </si>
  <si>
    <r>
      <rPr>
        <b/>
        <sz val="10.5"/>
        <color theme="1"/>
        <rFont val="Times New Roman"/>
        <charset val="134"/>
      </rPr>
      <t>To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>TURKEY,MERSIN</t>
    </r>
  </si>
  <si>
    <r>
      <rPr>
        <b/>
        <sz val="10.5"/>
        <color theme="1"/>
        <rFont val="宋体"/>
        <charset val="134"/>
      </rPr>
      <t>信用证号数</t>
    </r>
    <r>
      <rPr>
        <b/>
        <sz val="10.5"/>
        <color theme="1"/>
        <rFont val="Times New Roman"/>
        <charset val="134"/>
      </rPr>
      <t xml:space="preserve">                              </t>
    </r>
    <r>
      <rPr>
        <b/>
        <sz val="10.5"/>
        <color theme="1"/>
        <rFont val="宋体"/>
        <charset val="134"/>
      </rPr>
      <t xml:space="preserve"> </t>
    </r>
    <r>
      <rPr>
        <b/>
        <sz val="10.5"/>
        <color theme="1"/>
        <rFont val="Times New Roman"/>
        <charset val="134"/>
      </rPr>
      <t xml:space="preserve"> </t>
    </r>
    <r>
      <rPr>
        <b/>
        <sz val="10.5"/>
        <color theme="1"/>
        <rFont val="宋体"/>
        <charset val="134"/>
      </rPr>
      <t xml:space="preserve">    </t>
    </r>
  </si>
  <si>
    <t>开证银行</t>
  </si>
  <si>
    <t xml:space="preserve"> Letter of Credit No.                                                                      </t>
  </si>
  <si>
    <r>
      <rPr>
        <b/>
        <sz val="10.5"/>
        <color theme="1"/>
        <rFont val="Times New Roman"/>
        <charset val="134"/>
      </rPr>
      <t xml:space="preserve">Issued by </t>
    </r>
    <r>
      <rPr>
        <b/>
        <sz val="10.5"/>
        <color theme="1"/>
        <rFont val="宋体"/>
        <charset val="134"/>
      </rPr>
      <t>：</t>
    </r>
    <r>
      <rPr>
        <b/>
        <sz val="10.5"/>
        <color theme="1"/>
        <rFont val="Times New Roman"/>
        <charset val="134"/>
      </rPr>
      <t xml:space="preserve">                                              </t>
    </r>
  </si>
  <si>
    <t>唛头号码</t>
  </si>
  <si>
    <t>数  量  与  品  名</t>
  </si>
  <si>
    <t xml:space="preserve">  单  价</t>
  </si>
  <si>
    <t>金  额</t>
  </si>
  <si>
    <t>Marks &amp; Numbers</t>
  </si>
  <si>
    <t>Quantities and Descriptions</t>
  </si>
  <si>
    <t xml:space="preserve">  Unit Price</t>
  </si>
  <si>
    <t>Amount</t>
  </si>
  <si>
    <t>N/M</t>
  </si>
  <si>
    <t>TEXTILES FABRIC</t>
  </si>
  <si>
    <t>CIF                         MERSIN</t>
  </si>
  <si>
    <t>4130  DARK BLUE/BACK WHITE</t>
  </si>
  <si>
    <t>MTS</t>
  </si>
  <si>
    <t>ROLLS</t>
  </si>
  <si>
    <t>USD</t>
  </si>
  <si>
    <t>1.41</t>
  </si>
  <si>
    <t>/M</t>
  </si>
  <si>
    <t>4130  BLACK/BACK BLACK</t>
  </si>
  <si>
    <t>1.47</t>
  </si>
  <si>
    <t>SEA FREIGHT</t>
  </si>
  <si>
    <t>INSURANCE</t>
  </si>
  <si>
    <t>TOTAL:</t>
  </si>
  <si>
    <t>SAY TOTAL US DOLLARS SEVENTY FIVE THOUSAND SIX HUNDRED AND TWENTY EIGHT AND CENTS SIXTY FOUR ONLY</t>
  </si>
  <si>
    <t>CHINA CONSTRUCTION BANK JINHUA BRANCH</t>
  </si>
  <si>
    <t xml:space="preserve"> SWIFT: PCBCCNBJZJG</t>
  </si>
  <si>
    <t>BENEFICIARY CUSTOMER：</t>
  </si>
  <si>
    <t xml:space="preserve"> A/C NO: 33014046000220500016</t>
  </si>
  <si>
    <t>BENEFICIARY: ZHEJIANG BLUEDREAM TEXTILE CO.,LTD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</si>
</sst>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  <numFmt numFmtId="178" formatCode="0.00_ "/>
    <numFmt numFmtId="179" formatCode="#,##0.00_ "/>
  </numFmts>
  <fonts count="3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2"/>
      <color theme="1"/>
      <name val="宋体"/>
      <charset val="134"/>
    </font>
    <font>
      <b/>
      <sz val="10.5"/>
      <color theme="1"/>
      <name val="宋体"/>
      <charset val="134"/>
    </font>
    <font>
      <sz val="10.5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0"/>
      <color theme="1"/>
      <name val="宋体"/>
      <charset val="134"/>
    </font>
    <font>
      <b/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b/>
      <sz val="10"/>
      <name val="Times New Roman"/>
      <charset val="134"/>
    </font>
    <font>
      <b/>
      <u/>
      <sz val="10"/>
      <name val="Times New Roman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.5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6" applyNumberFormat="0" applyAlignment="0" applyProtection="0">
      <alignment vertical="center"/>
    </xf>
    <xf numFmtId="0" fontId="29" fillId="4" borderId="17" applyNumberFormat="0" applyAlignment="0" applyProtection="0">
      <alignment vertical="center"/>
    </xf>
    <xf numFmtId="0" fontId="30" fillId="4" borderId="16" applyNumberFormat="0" applyAlignment="0" applyProtection="0">
      <alignment vertical="center"/>
    </xf>
    <xf numFmtId="0" fontId="31" fillId="5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76" fontId="9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176" fontId="15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76" fontId="15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176" fontId="16" fillId="0" borderId="7" xfId="0" applyNumberFormat="1" applyFont="1" applyBorder="1" applyAlignment="1">
      <alignment horizontal="left" vertical="top" wrapText="1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9" xfId="0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49" fontId="17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8" fontId="16" fillId="0" borderId="10" xfId="0" applyNumberFormat="1" applyFont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>
      <alignment vertical="center"/>
    </xf>
    <xf numFmtId="176" fontId="16" fillId="0" borderId="0" xfId="0" applyNumberFormat="1" applyFont="1">
      <alignment vertical="center"/>
    </xf>
    <xf numFmtId="0" fontId="16" fillId="0" borderId="12" xfId="0" applyFont="1" applyBorder="1" applyAlignment="1">
      <alignment horizontal="center" vertical="center"/>
    </xf>
    <xf numFmtId="0" fontId="16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49" fontId="16" fillId="0" borderId="3" xfId="0" applyNumberFormat="1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>
      <alignment vertical="center"/>
    </xf>
    <xf numFmtId="0" fontId="16" fillId="0" borderId="2" xfId="0" applyFont="1" applyBorder="1">
      <alignment vertical="center"/>
    </xf>
    <xf numFmtId="176" fontId="16" fillId="0" borderId="3" xfId="0" applyNumberFormat="1" applyFont="1" applyBorder="1">
      <alignment vertical="center"/>
    </xf>
    <xf numFmtId="179" fontId="16" fillId="0" borderId="4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176" fontId="18" fillId="0" borderId="0" xfId="0" applyNumberFormat="1" applyFont="1" applyAlignment="1">
      <alignment horizontal="left" vertical="center" wrapText="1"/>
    </xf>
    <xf numFmtId="0" fontId="19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34"/>
  <sheetViews>
    <sheetView tabSelected="1" view="pageBreakPreview" zoomScale="85" zoomScaleNormal="100" topLeftCell="A21" workbookViewId="0">
      <selection activeCell="B22" sqref="B22:C22"/>
    </sheetView>
  </sheetViews>
  <sheetFormatPr defaultColWidth="9" defaultRowHeight="13.5"/>
  <cols>
    <col min="1" max="1" width="11.6666666666667" customWidth="1"/>
    <col min="2" max="2" width="30.4416666666667" customWidth="1"/>
    <col min="3" max="3" width="11.5583333333333" customWidth="1"/>
    <col min="4" max="4" width="6.88333333333333" customWidth="1"/>
    <col min="5" max="5" width="4.88333333333333" customWidth="1"/>
    <col min="6" max="6" width="5.10833333333333" customWidth="1"/>
    <col min="7" max="7" width="3.44166666666667" customWidth="1"/>
    <col min="8" max="8" width="3.55833333333333" customWidth="1"/>
    <col min="9" max="9" width="4.88333333333333" customWidth="1"/>
    <col min="10" max="10" width="7.33333333333333" style="1" customWidth="1"/>
    <col min="11" max="11" width="3.88333333333333" customWidth="1"/>
    <col min="12" max="12" width="4.44166666666667" customWidth="1"/>
    <col min="13" max="13" width="17.6666666666667" customWidth="1"/>
    <col min="14" max="14" width="12" customWidth="1"/>
  </cols>
  <sheetData>
    <row r="1" ht="30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spans="1:1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3.05" customHeight="1" spans="1:1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ht="14.25" spans="1:13">
      <c r="A4" s="6"/>
      <c r="B4" s="6"/>
      <c r="C4" s="6"/>
      <c r="D4" s="6"/>
      <c r="E4" s="6"/>
      <c r="F4" s="6"/>
      <c r="G4" s="6"/>
      <c r="H4" s="6"/>
      <c r="I4" s="6"/>
      <c r="J4" s="7"/>
      <c r="K4" s="6"/>
      <c r="L4" s="6"/>
      <c r="M4" s="6"/>
    </row>
    <row r="5" ht="18" customHeight="1" spans="1:13">
      <c r="A5" s="8" t="s">
        <v>3</v>
      </c>
      <c r="B5" s="9"/>
      <c r="C5" s="10" t="s">
        <v>4</v>
      </c>
      <c r="D5" s="11"/>
      <c r="E5" s="11"/>
      <c r="F5" s="11"/>
      <c r="G5" s="11"/>
    </row>
    <row r="6" ht="18" customHeight="1" spans="1:13">
      <c r="A6" s="12" t="s">
        <v>5</v>
      </c>
      <c r="B6" s="13"/>
      <c r="C6" s="11"/>
      <c r="D6" s="11"/>
      <c r="E6" s="11"/>
      <c r="F6" s="11"/>
      <c r="G6" s="11"/>
      <c r="H6" s="14" t="s">
        <v>6</v>
      </c>
      <c r="I6" s="14"/>
      <c r="J6" s="15"/>
      <c r="K6" s="14"/>
      <c r="L6" s="14"/>
      <c r="M6" s="14"/>
    </row>
    <row r="7" ht="18" customHeight="1" spans="1:13">
      <c r="A7" s="13"/>
      <c r="B7" s="13"/>
      <c r="C7" s="11"/>
      <c r="D7" s="11"/>
      <c r="E7" s="11"/>
      <c r="F7" s="11"/>
      <c r="G7" s="11"/>
      <c r="H7" s="16" t="s">
        <v>7</v>
      </c>
      <c r="I7" s="14"/>
      <c r="J7" s="15"/>
      <c r="K7" s="14"/>
      <c r="L7" s="14"/>
      <c r="M7" s="14"/>
    </row>
    <row r="8" ht="18" customHeight="1" spans="1:13">
      <c r="A8" s="13"/>
      <c r="B8" s="13"/>
      <c r="C8" s="11"/>
      <c r="D8" s="11"/>
      <c r="E8" s="11"/>
      <c r="F8" s="11"/>
      <c r="G8" s="11"/>
      <c r="H8" s="14" t="s">
        <v>8</v>
      </c>
      <c r="I8" s="14"/>
      <c r="J8" s="15"/>
      <c r="K8" s="14"/>
      <c r="L8" s="14"/>
      <c r="M8" s="14"/>
    </row>
    <row r="9" ht="18" customHeight="1" spans="1:13">
      <c r="A9" s="13"/>
      <c r="B9" s="13"/>
      <c r="C9" s="11"/>
      <c r="D9" s="11"/>
      <c r="E9" s="11"/>
      <c r="F9" s="11"/>
      <c r="G9" s="11"/>
      <c r="H9" s="17" t="s">
        <v>9</v>
      </c>
      <c r="I9" s="17"/>
      <c r="J9" s="18"/>
      <c r="K9" s="17"/>
      <c r="L9" s="17"/>
      <c r="M9" s="17"/>
    </row>
    <row r="10" ht="18" customHeight="1" spans="1:13">
      <c r="A10" s="13"/>
      <c r="B10" s="13"/>
      <c r="C10" s="11"/>
      <c r="D10" s="11"/>
      <c r="E10" s="11"/>
      <c r="F10" s="11"/>
      <c r="G10" s="11"/>
      <c r="H10" s="19"/>
      <c r="I10" s="17"/>
      <c r="J10" s="18"/>
      <c r="K10" s="17"/>
      <c r="L10" s="17"/>
      <c r="M10" s="17"/>
    </row>
    <row r="11" ht="18" customHeight="1" spans="1:13">
      <c r="A11" s="13"/>
      <c r="B11" s="13"/>
      <c r="C11" s="11"/>
      <c r="D11" s="11"/>
      <c r="E11" s="11"/>
      <c r="F11" s="11"/>
      <c r="G11" s="11"/>
      <c r="H11" s="14" t="s">
        <v>10</v>
      </c>
      <c r="I11" s="14"/>
      <c r="J11" s="15"/>
      <c r="K11" s="14"/>
      <c r="L11" s="14"/>
      <c r="M11" s="14"/>
    </row>
    <row r="12" ht="16.05" customHeight="1" spans="1:13">
      <c r="A12" s="13"/>
      <c r="B12" s="13"/>
      <c r="C12" s="11"/>
      <c r="D12" s="11"/>
      <c r="E12" s="11"/>
      <c r="F12" s="11"/>
      <c r="G12" s="11"/>
      <c r="H12" s="20" t="s">
        <v>11</v>
      </c>
      <c r="I12" s="21"/>
      <c r="J12" s="22"/>
      <c r="K12" s="21"/>
      <c r="L12" s="21"/>
      <c r="M12" s="21"/>
    </row>
    <row r="13" ht="13.95" customHeight="1" spans="1:13">
      <c r="A13" s="23"/>
      <c r="B13" s="23"/>
      <c r="C13" s="23"/>
      <c r="D13" s="11"/>
      <c r="E13" s="11"/>
      <c r="F13" s="11"/>
      <c r="G13" s="11"/>
      <c r="H13" s="24"/>
      <c r="I13" s="25"/>
      <c r="J13" s="26"/>
      <c r="K13" s="25"/>
      <c r="L13" s="25"/>
      <c r="M13" s="25"/>
    </row>
    <row r="14" ht="15" customHeight="1" spans="1:13">
      <c r="A14" s="8" t="s">
        <v>12</v>
      </c>
      <c r="F14" s="27" t="s">
        <v>13</v>
      </c>
      <c r="G14" s="27"/>
      <c r="H14" s="27"/>
      <c r="I14" s="27"/>
      <c r="J14" s="28"/>
      <c r="K14" s="29"/>
      <c r="L14" s="29"/>
      <c r="M14" s="29"/>
    </row>
    <row r="15" ht="16.95" customHeight="1" spans="1:13">
      <c r="A15" s="30" t="s">
        <v>14</v>
      </c>
      <c r="B15" s="30"/>
      <c r="C15" s="30"/>
      <c r="D15" s="30"/>
      <c r="E15" s="30"/>
      <c r="F15" s="31" t="s">
        <v>15</v>
      </c>
      <c r="G15" s="31"/>
      <c r="H15" s="31"/>
      <c r="I15" s="31"/>
      <c r="J15" s="32"/>
      <c r="K15" s="31"/>
      <c r="L15" s="31"/>
      <c r="M15" s="31"/>
    </row>
    <row r="16" ht="15" customHeight="1" spans="1:13">
      <c r="A16" s="8" t="s">
        <v>16</v>
      </c>
      <c r="F16" s="27" t="s">
        <v>17</v>
      </c>
      <c r="G16" s="27"/>
      <c r="H16" s="27"/>
      <c r="I16" s="27"/>
      <c r="J16" s="28"/>
      <c r="K16" s="27"/>
      <c r="L16" s="27"/>
      <c r="M16" s="27"/>
    </row>
    <row r="17" ht="18" customHeight="1" spans="1:13">
      <c r="A17" s="31" t="s">
        <v>18</v>
      </c>
      <c r="B17" s="31"/>
      <c r="C17" s="31"/>
      <c r="D17" s="31"/>
      <c r="E17" s="31"/>
      <c r="F17" s="31" t="s">
        <v>19</v>
      </c>
      <c r="G17" s="31"/>
      <c r="H17" s="31"/>
      <c r="I17" s="31"/>
      <c r="J17" s="32"/>
      <c r="K17" s="31"/>
      <c r="L17" s="29"/>
      <c r="M17" s="29"/>
    </row>
    <row r="19" spans="1:13">
      <c r="A19" s="33" t="s">
        <v>20</v>
      </c>
      <c r="B19" s="33" t="s">
        <v>21</v>
      </c>
      <c r="C19" s="33"/>
      <c r="D19" s="33"/>
      <c r="E19" s="33"/>
      <c r="F19" s="33"/>
      <c r="G19" s="33"/>
      <c r="H19" s="33"/>
      <c r="I19" s="34" t="s">
        <v>22</v>
      </c>
      <c r="J19" s="35"/>
      <c r="K19" s="36"/>
      <c r="L19" s="33" t="s">
        <v>23</v>
      </c>
      <c r="M19" s="33"/>
    </row>
    <row r="20" ht="27" customHeight="1" spans="1:13">
      <c r="A20" s="37" t="s">
        <v>24</v>
      </c>
      <c r="B20" s="38" t="s">
        <v>25</v>
      </c>
      <c r="C20" s="38"/>
      <c r="D20" s="38"/>
      <c r="E20" s="38"/>
      <c r="F20" s="38"/>
      <c r="G20" s="38"/>
      <c r="H20" s="38"/>
      <c r="I20" s="39" t="s">
        <v>26</v>
      </c>
      <c r="J20" s="40"/>
      <c r="K20" s="41"/>
      <c r="L20" s="38" t="s">
        <v>27</v>
      </c>
      <c r="M20" s="38"/>
    </row>
    <row r="21" ht="61.05" customHeight="1" spans="1:13">
      <c r="A21" s="42" t="s">
        <v>28</v>
      </c>
      <c r="B21" s="43" t="s">
        <v>29</v>
      </c>
      <c r="C21" s="44"/>
      <c r="D21" s="44"/>
      <c r="E21" s="44"/>
      <c r="F21" s="44"/>
      <c r="G21" s="44"/>
      <c r="H21" s="44"/>
      <c r="I21" s="43" t="s">
        <v>30</v>
      </c>
      <c r="J21" s="45"/>
      <c r="K21" s="44"/>
      <c r="L21" s="46"/>
      <c r="M21" s="47"/>
    </row>
    <row r="22" ht="31.95" customHeight="1" spans="1:13">
      <c r="A22" s="48"/>
      <c r="B22" s="49" t="s">
        <v>31</v>
      </c>
      <c r="C22" s="50"/>
      <c r="D22" s="51">
        <v>25128</v>
      </c>
      <c r="E22" s="52" t="s">
        <v>32</v>
      </c>
      <c r="F22" s="51">
        <v>229</v>
      </c>
      <c r="G22" s="53" t="s">
        <v>33</v>
      </c>
      <c r="H22" s="53"/>
      <c r="I22" s="54" t="s">
        <v>34</v>
      </c>
      <c r="J22" s="55" t="s">
        <v>35</v>
      </c>
      <c r="K22" s="52" t="s">
        <v>36</v>
      </c>
      <c r="L22" s="54" t="s">
        <v>34</v>
      </c>
      <c r="M22" s="56">
        <f>D22*J22</f>
        <v>35430.48</v>
      </c>
    </row>
    <row r="23" ht="31.95" customHeight="1" spans="1:13">
      <c r="A23" s="48"/>
      <c r="B23" s="49" t="s">
        <v>37</v>
      </c>
      <c r="C23" s="50"/>
      <c r="D23" s="51">
        <v>25128</v>
      </c>
      <c r="E23" s="52" t="s">
        <v>32</v>
      </c>
      <c r="F23" s="51">
        <v>229</v>
      </c>
      <c r="G23" s="53" t="s">
        <v>33</v>
      </c>
      <c r="H23" s="53"/>
      <c r="I23" s="54" t="s">
        <v>34</v>
      </c>
      <c r="J23" s="55" t="s">
        <v>38</v>
      </c>
      <c r="K23" s="52" t="s">
        <v>36</v>
      </c>
      <c r="L23" s="54" t="s">
        <v>34</v>
      </c>
      <c r="M23" s="56">
        <f>D23*J23</f>
        <v>36938.16</v>
      </c>
    </row>
    <row r="24" ht="33" customHeight="1" spans="1:13">
      <c r="A24" s="48"/>
      <c r="B24" s="49" t="s">
        <v>39</v>
      </c>
      <c r="C24" s="50"/>
      <c r="D24" s="51"/>
      <c r="E24" s="52"/>
      <c r="F24" s="57"/>
      <c r="G24" s="53"/>
      <c r="H24" s="53"/>
      <c r="I24" s="54"/>
      <c r="J24" s="58"/>
      <c r="K24" s="52"/>
      <c r="L24" s="54" t="s">
        <v>34</v>
      </c>
      <c r="M24" s="59">
        <v>3180</v>
      </c>
    </row>
    <row r="25" ht="19.95" customHeight="1" spans="1:13">
      <c r="A25" s="60"/>
      <c r="B25" s="61" t="s">
        <v>40</v>
      </c>
      <c r="C25" s="53"/>
      <c r="D25" s="52"/>
      <c r="E25" s="52"/>
      <c r="F25" s="62"/>
      <c r="G25" s="53"/>
      <c r="H25" s="53"/>
      <c r="I25" s="63"/>
      <c r="J25" s="64"/>
      <c r="K25" s="52"/>
      <c r="L25" s="54" t="s">
        <v>34</v>
      </c>
      <c r="M25" s="59">
        <v>80</v>
      </c>
    </row>
    <row r="26" ht="48" customHeight="1" spans="1:13">
      <c r="A26" s="65"/>
      <c r="B26" s="66" t="s">
        <v>41</v>
      </c>
      <c r="C26" s="67"/>
      <c r="D26" s="68">
        <f>SUM(D22:D25)</f>
        <v>50256</v>
      </c>
      <c r="E26" s="69" t="s">
        <v>32</v>
      </c>
      <c r="F26" s="70">
        <f>SUM(F22:F25)</f>
        <v>458</v>
      </c>
      <c r="G26" s="70" t="s">
        <v>33</v>
      </c>
      <c r="H26" s="71"/>
      <c r="I26" s="72"/>
      <c r="J26" s="73"/>
      <c r="K26" s="69"/>
      <c r="L26" s="66" t="s">
        <v>34</v>
      </c>
      <c r="M26" s="74">
        <f>SUM(M22:M25)</f>
        <v>75628.64</v>
      </c>
    </row>
    <row r="27" ht="51" customHeight="1" spans="1:13">
      <c r="A27" s="75" t="s">
        <v>42</v>
      </c>
      <c r="B27" s="75"/>
      <c r="C27" s="75"/>
      <c r="D27" s="75"/>
      <c r="E27" s="75"/>
      <c r="F27" s="75"/>
      <c r="G27" s="75"/>
      <c r="H27" s="75"/>
      <c r="I27" s="75"/>
      <c r="J27" s="76"/>
      <c r="K27" s="75"/>
      <c r="L27" s="75"/>
      <c r="M27" s="75"/>
    </row>
    <row r="28" ht="14.25" spans="1:13">
      <c r="A28" s="77" t="s">
        <v>43</v>
      </c>
      <c r="J28"/>
    </row>
    <row r="29" ht="14.25" spans="1:13">
      <c r="A29" s="77" t="s">
        <v>44</v>
      </c>
      <c r="J29"/>
    </row>
    <row r="30" ht="14.25" spans="1:13">
      <c r="A30" s="77"/>
      <c r="J30"/>
    </row>
    <row r="31" ht="14.25" spans="1:13">
      <c r="A31" s="77" t="s">
        <v>45</v>
      </c>
      <c r="J31"/>
    </row>
    <row r="32" ht="14.25" spans="1:13">
      <c r="A32" s="77" t="s">
        <v>46</v>
      </c>
      <c r="J32"/>
    </row>
    <row r="33" customFormat="1" ht="14.25" spans="1:1">
      <c r="A33" s="77" t="s">
        <v>47</v>
      </c>
    </row>
    <row r="34" customFormat="1"/>
  </sheetData>
  <mergeCells count="32">
    <mergeCell ref="A1:M1"/>
    <mergeCell ref="A2:M2"/>
    <mergeCell ref="A3:M3"/>
    <mergeCell ref="H6:M6"/>
    <mergeCell ref="H7:M7"/>
    <mergeCell ref="H8:M8"/>
    <mergeCell ref="H9:M9"/>
    <mergeCell ref="H11:M11"/>
    <mergeCell ref="H12:M12"/>
    <mergeCell ref="F15:M15"/>
    <mergeCell ref="F16:M16"/>
    <mergeCell ref="A17:E17"/>
    <mergeCell ref="B19:H19"/>
    <mergeCell ref="I19:K19"/>
    <mergeCell ref="L19:M19"/>
    <mergeCell ref="B20:H20"/>
    <mergeCell ref="I20:K20"/>
    <mergeCell ref="L20:M20"/>
    <mergeCell ref="B21:H21"/>
    <mergeCell ref="I21:K21"/>
    <mergeCell ref="L21:M21"/>
    <mergeCell ref="B22:C22"/>
    <mergeCell ref="G22:H22"/>
    <mergeCell ref="B23:C23"/>
    <mergeCell ref="G23:H23"/>
    <mergeCell ref="B25:C25"/>
    <mergeCell ref="G25:H25"/>
    <mergeCell ref="G26:H26"/>
    <mergeCell ref="A27:M27"/>
    <mergeCell ref="A21:A26"/>
    <mergeCell ref="C5:F12"/>
    <mergeCell ref="A6:B12"/>
  </mergeCells>
  <printOptions horizontalCentered="1"/>
  <pageMargins left="0.354166666666667" right="0.393055555555556" top="0.747916666666667" bottom="0.66875" header="0.5" footer="0.5"/>
  <pageSetup paperSize="9" scale="84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Chelsea Tong</cp:lastModifiedBy>
  <dcterms:created xsi:type="dcterms:W3CDTF">2019-03-31T09:09:00Z</dcterms:created>
  <dcterms:modified xsi:type="dcterms:W3CDTF">2026-04-04T04:05:02Z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EB23BE5A746F4B31A8F09CB389F7527C_13</vt:lpwstr>
  </property>
  <property fmtid="{D5CDD505-2E9C-101B-9397-08002B2CF9AE}" pid="4" name="commondata">
    <vt:lpwstr>eyJoZGlkIjoiMTI2MjkxOGJmMmQ1YjBmOTYyYmNhMGE5NDA4NDhkNmQifQ==</vt:lpwstr>
  </property>
  <property fmtid="{D5CDD505-2E9C-101B-9397-08002B2CF9AE}" pid="5" name="CalculationRule">
    <vt:i4>0</vt:i4>
  </property>
</Properties>
</file>