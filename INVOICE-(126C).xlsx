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G:\客户\4130\阿布杜\2026\2026发货\4.06-1\"/>
    </mc:Choice>
  </mc:AlternateContent>
  <xr:revisionPtr revIDLastSave="0" documentId="13_ncr:1_{366080AA-E21A-4134-8E57-79745D09DB5D}" xr6:coauthVersionLast="47" xr6:coauthVersionMax="47" xr10:uidLastSave="{00000000-0000-0000-0000-000000000000}"/>
  <bookViews>
    <workbookView xWindow="2340" yWindow="2340" windowWidth="18030" windowHeight="13335" xr2:uid="{00000000-000D-0000-FFFF-FFFF00000000}"/>
  </bookViews>
  <sheets>
    <sheet name="Sheet1" sheetId="1" r:id="rId1"/>
  </sheets>
  <definedNames>
    <definedName name="_xlnm.Print_Area" localSheetId="0">Sheet1!$A$1:$M$40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D32" i="1"/>
  <c r="M29" i="1"/>
  <c r="M28" i="1"/>
  <c r="M27" i="1"/>
  <c r="M32" i="1" s="1"/>
  <c r="M26" i="1"/>
  <c r="M25" i="1"/>
  <c r="M24" i="1"/>
  <c r="M23" i="1"/>
  <c r="M22" i="1"/>
</calcChain>
</file>

<file path=xl/sharedStrings.xml><?xml version="1.0" encoding="utf-8"?>
<sst xmlns="http://schemas.openxmlformats.org/spreadsheetml/2006/main" count="102" uniqueCount="61">
  <si>
    <t>浙江蓝之梦纺织有限公司</t>
  </si>
  <si>
    <r>
      <rPr>
        <b/>
        <sz val="12"/>
        <color theme="1"/>
        <rFont val="Times New Roman"/>
        <family val="1"/>
      </rPr>
      <t>ZHEJIANG  BLUEDREAM  TEXTILE  CO.</t>
    </r>
    <r>
      <rPr>
        <b/>
        <sz val="12"/>
        <color theme="1"/>
        <rFont val="宋体"/>
        <family val="3"/>
        <charset val="134"/>
      </rPr>
      <t>，</t>
    </r>
    <r>
      <rPr>
        <b/>
        <sz val="12"/>
        <color theme="1"/>
        <rFont val="Times New Roman"/>
        <family val="1"/>
      </rPr>
      <t>LTD.</t>
    </r>
  </si>
  <si>
    <t>ADD:NO.1515 DANXI ROAD, ECONOMIC DEVELOPMENT ZONE,LANXI,ZHEJIANG,CHINA 321100</t>
  </si>
  <si>
    <t>致：</t>
  </si>
  <si>
    <t>出口产品专用发票     INVOICE</t>
  </si>
  <si>
    <t>TO:
TAYYIB PLASTIK SANAYI VE TICARET LIMITED SIRKETI 
ADDRESS:KARATARLA MAH. KORUKCU SK.KORUKCU IS HANI BLOK NO:5 IC KAPI NO:208 SAHINBEY/GAZIANTEP                                                             TAX NO : 8330801432                                                                                                     TAX ADRES : SUBURCU VERGI DAIRESI MUD.                                                 TEL:+90 (535) 277 48 42</t>
  </si>
  <si>
    <t>发票编号：</t>
  </si>
  <si>
    <t>Invoice Number ：LZM126C26</t>
  </si>
  <si>
    <t xml:space="preserve">售货确认书号数： </t>
  </si>
  <si>
    <r>
      <rPr>
        <b/>
        <sz val="10"/>
        <rFont val="Times New Roman"/>
        <family val="1"/>
      </rPr>
      <t xml:space="preserve">Sales Confirmation No. </t>
    </r>
    <r>
      <rPr>
        <b/>
        <u/>
        <sz val="10"/>
        <rFont val="Times New Roman"/>
        <family val="1"/>
      </rPr>
      <t xml:space="preserve"> LZM-C260112011</t>
    </r>
  </si>
  <si>
    <t>C251118020 C251011009</t>
  </si>
  <si>
    <t xml:space="preserve">日期：                                </t>
  </si>
  <si>
    <t>Date:6 APR,2026</t>
  </si>
  <si>
    <r>
      <rPr>
        <b/>
        <sz val="10.5"/>
        <color theme="1"/>
        <rFont val="宋体"/>
        <family val="3"/>
        <charset val="134"/>
      </rPr>
      <t>装船口岸</t>
    </r>
    <r>
      <rPr>
        <b/>
        <sz val="10.5"/>
        <color theme="1"/>
        <rFont val="Times New Roman"/>
        <family val="1"/>
      </rPr>
      <t xml:space="preserve">                              </t>
    </r>
    <r>
      <rPr>
        <b/>
        <sz val="10.5"/>
        <color theme="1"/>
        <rFont val="宋体"/>
        <family val="3"/>
        <charset val="134"/>
      </rPr>
      <t xml:space="preserve">  </t>
    </r>
    <r>
      <rPr>
        <b/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宋体"/>
        <family val="3"/>
        <charset val="134"/>
      </rPr>
      <t xml:space="preserve">   </t>
    </r>
    <r>
      <rPr>
        <b/>
        <sz val="10.5"/>
        <color theme="1"/>
        <rFont val="Times New Roman"/>
        <family val="1"/>
      </rPr>
      <t xml:space="preserve">  </t>
    </r>
    <r>
      <rPr>
        <b/>
        <sz val="10.5"/>
        <color theme="1"/>
        <rFont val="宋体"/>
        <family val="3"/>
        <charset val="134"/>
      </rPr>
      <t xml:space="preserve">    </t>
    </r>
  </si>
  <si>
    <t xml:space="preserve">目的地                            </t>
  </si>
  <si>
    <r>
      <rPr>
        <b/>
        <sz val="10.5"/>
        <color theme="1"/>
        <rFont val="Times New Roman"/>
        <family val="1"/>
      </rPr>
      <t>From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 xml:space="preserve">    NINGBO , CHINA                                                                 </t>
    </r>
  </si>
  <si>
    <r>
      <rPr>
        <b/>
        <sz val="10.5"/>
        <color theme="1"/>
        <rFont val="Times New Roman"/>
        <family val="1"/>
      </rPr>
      <t>To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TURKEY,MERSIN</t>
    </r>
  </si>
  <si>
    <r>
      <rPr>
        <b/>
        <sz val="10.5"/>
        <color theme="1"/>
        <rFont val="宋体"/>
        <family val="3"/>
        <charset val="134"/>
      </rPr>
      <t>信用证号数</t>
    </r>
    <r>
      <rPr>
        <b/>
        <sz val="10.5"/>
        <color theme="1"/>
        <rFont val="Times New Roman"/>
        <family val="1"/>
      </rPr>
      <t xml:space="preserve">                              </t>
    </r>
    <r>
      <rPr>
        <b/>
        <sz val="10.5"/>
        <color theme="1"/>
        <rFont val="宋体"/>
        <family val="3"/>
        <charset val="134"/>
      </rPr>
      <t xml:space="preserve"> </t>
    </r>
    <r>
      <rPr>
        <b/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宋体"/>
        <family val="3"/>
        <charset val="134"/>
      </rPr>
      <t xml:space="preserve">    </t>
    </r>
  </si>
  <si>
    <t>开证银行</t>
  </si>
  <si>
    <t xml:space="preserve"> Letter of Credit No.                                                                      </t>
  </si>
  <si>
    <r>
      <rPr>
        <b/>
        <sz val="10.5"/>
        <color theme="1"/>
        <rFont val="Times New Roman"/>
        <family val="1"/>
      </rPr>
      <t xml:space="preserve">Issued by 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 xml:space="preserve">                                              </t>
    </r>
  </si>
  <si>
    <t>唛头号码</t>
  </si>
  <si>
    <t>数  量  与  品  名</t>
  </si>
  <si>
    <t xml:space="preserve">  单  价</t>
  </si>
  <si>
    <t>金  额</t>
  </si>
  <si>
    <t>Marks &amp; Numbers</t>
  </si>
  <si>
    <t>Quantities and Descriptions</t>
  </si>
  <si>
    <t xml:space="preserve">  Unit Price</t>
  </si>
  <si>
    <t>Amount</t>
  </si>
  <si>
    <t>N/M</t>
  </si>
  <si>
    <t>TEXTILES FABRIC</t>
  </si>
  <si>
    <t>CIF                         MERSIN</t>
  </si>
  <si>
    <t>SPEED-19  DARK BLUE/BACK WHITE</t>
  </si>
  <si>
    <t>MTS</t>
  </si>
  <si>
    <t>ROLLS</t>
  </si>
  <si>
    <t>USD</t>
  </si>
  <si>
    <t>2.08</t>
  </si>
  <si>
    <t>/M</t>
  </si>
  <si>
    <t>SPEED-19 BLACK/BACK BLACK</t>
  </si>
  <si>
    <t>2.14</t>
  </si>
  <si>
    <t>HOLDEN-25 BLUE BLACK/BACK WHITE</t>
  </si>
  <si>
    <t>2.23</t>
  </si>
  <si>
    <t>HOLDEN-25 BLACK/BACK BLACK</t>
  </si>
  <si>
    <t>2.29</t>
  </si>
  <si>
    <t>ROXY-7 DARK BLUE/BACK WHITE</t>
  </si>
  <si>
    <t>1.97</t>
  </si>
  <si>
    <t>ROXY-7 BLACK/BACK BLACK</t>
  </si>
  <si>
    <t>ROXSY-2 DARK BLUE/BACK WHITE</t>
  </si>
  <si>
    <t>1.95</t>
  </si>
  <si>
    <t>(نيو سكاي)  DARK BLUE/BACK WHITE</t>
  </si>
  <si>
    <t>1.55</t>
  </si>
  <si>
    <t>SEA FREIGHT</t>
  </si>
  <si>
    <t>INSURANCE</t>
  </si>
  <si>
    <t>TOTAL:</t>
  </si>
  <si>
    <t>CHINA CONSTRUCTION BANK JINHUA BRANCH</t>
  </si>
  <si>
    <t xml:space="preserve"> SWIFT: PCBCCNBJZJG</t>
  </si>
  <si>
    <t>BENEFICIARY CUSTOMER：</t>
  </si>
  <si>
    <t xml:space="preserve"> A/C NO: 33014046000220500016</t>
  </si>
  <si>
    <t>BENEFICIARY: ZHEJIANG BLUEDREAM TEXTILE CO.,LTD</t>
  </si>
  <si>
    <t>2.03</t>
    <phoneticPr fontId="20" type="noConversion"/>
  </si>
  <si>
    <t>SAY TOTAL US DOLLARS ONE HUNDRED THOUSAND SEVEN HUNDRED AND NINTY SEVEN AND CENTS SENVENTY ONLY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</si>
</sst>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0_ "/>
    <numFmt numFmtId="179" formatCode="0.00_);[Red]\(0.00\)"/>
    <numFmt numFmtId="180" formatCode="0.00_ "/>
    <numFmt numFmtId="181" formatCode="#,##0.00_ "/>
  </numFmts>
  <fonts count="21" x14ac:knownFonts="1">
    <font>
      <sz val="11"/>
      <color theme="1"/>
      <name val="宋体"/>
      <charset val="134"/>
      <scheme val="minor"/>
    </font>
    <font>
      <sz val="18"/>
      <color theme="1"/>
      <name val="宋体"/>
      <family val="3"/>
      <charset val="134"/>
      <scheme val="minor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10.5"/>
      <color theme="1"/>
      <name val="宋体"/>
      <family val="3"/>
      <charset val="134"/>
      <scheme val="minor"/>
    </font>
    <font>
      <b/>
      <sz val="10.5"/>
      <color theme="1"/>
      <name val="宋体"/>
      <family val="3"/>
      <charset val="134"/>
      <scheme val="minor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0.5"/>
      <color theme="1"/>
      <name val="Times New Roman"/>
      <family val="1"/>
    </font>
    <font>
      <sz val="11"/>
      <color theme="1"/>
      <name val="Times New Roman"/>
      <family val="1"/>
    </font>
    <font>
      <sz val="10.5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justify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center"/>
    </xf>
    <xf numFmtId="178" fontId="11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13" fillId="0" borderId="0" xfId="0" applyFont="1">
      <alignment vertical="center"/>
    </xf>
    <xf numFmtId="0" fontId="14" fillId="0" borderId="0" xfId="0" applyFont="1" applyAlignment="1">
      <alignment horizontal="left" vertical="center" wrapText="1"/>
    </xf>
    <xf numFmtId="178" fontId="14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178" fontId="5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178" fontId="15" fillId="0" borderId="0" xfId="0" applyNumberFormat="1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16" fillId="0" borderId="9" xfId="0" applyFont="1" applyBorder="1" applyAlignment="1">
      <alignment horizontal="right" vertical="center"/>
    </xf>
    <xf numFmtId="49" fontId="16" fillId="0" borderId="0" xfId="0" applyNumberFormat="1" applyFont="1" applyAlignment="1">
      <alignment horizontal="center" vertical="center" wrapText="1"/>
    </xf>
    <xf numFmtId="0" fontId="16" fillId="0" borderId="10" xfId="0" applyFont="1" applyBorder="1" applyAlignment="1">
      <alignment horizontal="left" vertical="center"/>
    </xf>
    <xf numFmtId="49" fontId="17" fillId="0" borderId="0" xfId="0" applyNumberFormat="1" applyFont="1" applyAlignment="1">
      <alignment horizontal="center" vertical="center"/>
    </xf>
    <xf numFmtId="179" fontId="16" fillId="0" borderId="0" xfId="0" applyNumberFormat="1" applyFont="1" applyAlignment="1">
      <alignment horizontal="center" vertical="center"/>
    </xf>
    <xf numFmtId="180" fontId="16" fillId="0" borderId="10" xfId="0" applyNumberFormat="1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9" xfId="0" applyFont="1" applyBorder="1">
      <alignment vertical="center"/>
    </xf>
    <xf numFmtId="178" fontId="16" fillId="0" borderId="0" xfId="0" applyNumberFormat="1" applyFont="1">
      <alignment vertical="center"/>
    </xf>
    <xf numFmtId="0" fontId="16" fillId="0" borderId="2" xfId="0" applyFont="1" applyBorder="1" applyAlignment="1">
      <alignment horizontal="right" vertical="center"/>
    </xf>
    <xf numFmtId="0" fontId="16" fillId="0" borderId="3" xfId="0" applyFont="1" applyBorder="1" applyAlignment="1">
      <alignment horizontal="right" vertical="center"/>
    </xf>
    <xf numFmtId="49" fontId="16" fillId="0" borderId="3" xfId="0" applyNumberFormat="1" applyFont="1" applyBorder="1" applyAlignment="1">
      <alignment horizontal="center" vertical="center"/>
    </xf>
    <xf numFmtId="0" fontId="16" fillId="0" borderId="3" xfId="0" applyFont="1" applyBorder="1">
      <alignment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>
      <alignment vertical="center"/>
    </xf>
    <xf numFmtId="178" fontId="16" fillId="0" borderId="3" xfId="0" applyNumberFormat="1" applyFont="1" applyBorder="1">
      <alignment vertical="center"/>
    </xf>
    <xf numFmtId="181" fontId="16" fillId="0" borderId="4" xfId="0" applyNumberFormat="1" applyFont="1" applyBorder="1" applyAlignment="1">
      <alignment horizontal="left" vertical="center"/>
    </xf>
    <xf numFmtId="0" fontId="19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78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78" fontId="11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178" fontId="9" fillId="0" borderId="0" xfId="0" applyNumberFormat="1" applyFont="1" applyAlignment="1">
      <alignment horizontal="left" vertical="top"/>
    </xf>
    <xf numFmtId="0" fontId="15" fillId="0" borderId="0" xfId="0" applyFont="1" applyAlignment="1">
      <alignment horizontal="left" vertical="center"/>
    </xf>
    <xf numFmtId="178" fontId="1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78" fontId="5" fillId="0" borderId="0" xfId="0" applyNumberFormat="1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78" fontId="15" fillId="0" borderId="3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178" fontId="15" fillId="0" borderId="7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178" fontId="16" fillId="0" borderId="7" xfId="0" applyNumberFormat="1" applyFont="1" applyBorder="1" applyAlignment="1">
      <alignment horizontal="left" vertical="top" wrapText="1"/>
    </xf>
    <xf numFmtId="0" fontId="16" fillId="0" borderId="6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>
      <alignment vertical="center"/>
    </xf>
    <xf numFmtId="0" fontId="18" fillId="0" borderId="0" xfId="0" applyFont="1" applyAlignment="1">
      <alignment horizontal="left" vertical="center" wrapText="1"/>
    </xf>
    <xf numFmtId="178" fontId="18" fillId="0" borderId="0" xfId="0" applyNumberFormat="1" applyFont="1" applyAlignment="1">
      <alignment horizontal="left" vertical="center" wrapText="1"/>
    </xf>
    <xf numFmtId="0" fontId="16" fillId="0" borderId="5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0"/>
  <sheetViews>
    <sheetView tabSelected="1" view="pageBreakPreview" topLeftCell="A23" zoomScale="85" zoomScaleNormal="100" workbookViewId="0">
      <selection activeCell="I36" sqref="I36"/>
    </sheetView>
  </sheetViews>
  <sheetFormatPr defaultColWidth="9" defaultRowHeight="13.5" x14ac:dyDescent="0.15"/>
  <cols>
    <col min="1" max="1" width="11.625" customWidth="1"/>
    <col min="2" max="2" width="30.5" customWidth="1"/>
    <col min="3" max="3" width="11.5" customWidth="1"/>
    <col min="4" max="4" width="6.875" customWidth="1"/>
    <col min="5" max="5" width="4.875" customWidth="1"/>
    <col min="6" max="6" width="5.125" customWidth="1"/>
    <col min="7" max="8" width="3.5" customWidth="1"/>
    <col min="9" max="9" width="4.875" customWidth="1"/>
    <col min="10" max="10" width="7.375" style="1" customWidth="1"/>
    <col min="11" max="11" width="3.875" customWidth="1"/>
    <col min="12" max="12" width="4.5" customWidth="1"/>
    <col min="13" max="13" width="17.625" customWidth="1"/>
    <col min="14" max="14" width="12" customWidth="1"/>
  </cols>
  <sheetData>
    <row r="1" spans="1:13" ht="30" customHeight="1" x14ac:dyDescent="0.1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ht="15.75" x14ac:dyDescent="0.15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3" ht="13.15" customHeight="1" x14ac:dyDescent="0.15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1:13" ht="14.25" x14ac:dyDescent="0.15">
      <c r="A4" s="2"/>
      <c r="B4" s="2"/>
      <c r="C4" s="2"/>
      <c r="D4" s="2"/>
      <c r="E4" s="2"/>
      <c r="F4" s="2"/>
      <c r="G4" s="2"/>
      <c r="H4" s="2"/>
      <c r="I4" s="2"/>
      <c r="J4" s="3"/>
      <c r="K4" s="2"/>
      <c r="L4" s="2"/>
      <c r="M4" s="2"/>
    </row>
    <row r="5" spans="1:13" ht="18" customHeight="1" x14ac:dyDescent="0.15">
      <c r="A5" s="4" t="s">
        <v>3</v>
      </c>
      <c r="B5" s="5"/>
      <c r="C5" s="86" t="s">
        <v>4</v>
      </c>
      <c r="D5" s="87"/>
      <c r="E5" s="87"/>
      <c r="F5" s="87"/>
      <c r="G5" s="6"/>
    </row>
    <row r="6" spans="1:13" ht="18" customHeight="1" x14ac:dyDescent="0.15">
      <c r="A6" s="88" t="s">
        <v>5</v>
      </c>
      <c r="B6" s="89"/>
      <c r="C6" s="87"/>
      <c r="D6" s="87"/>
      <c r="E6" s="87"/>
      <c r="F6" s="87"/>
      <c r="G6" s="6"/>
      <c r="H6" s="49" t="s">
        <v>6</v>
      </c>
      <c r="I6" s="49"/>
      <c r="J6" s="50"/>
      <c r="K6" s="49"/>
      <c r="L6" s="49"/>
      <c r="M6" s="49"/>
    </row>
    <row r="7" spans="1:13" ht="18" customHeight="1" x14ac:dyDescent="0.15">
      <c r="A7" s="89"/>
      <c r="B7" s="89"/>
      <c r="C7" s="87"/>
      <c r="D7" s="87"/>
      <c r="E7" s="87"/>
      <c r="F7" s="87"/>
      <c r="G7" s="6"/>
      <c r="H7" s="51" t="s">
        <v>7</v>
      </c>
      <c r="I7" s="49"/>
      <c r="J7" s="50"/>
      <c r="K7" s="49"/>
      <c r="L7" s="49"/>
      <c r="M7" s="49"/>
    </row>
    <row r="8" spans="1:13" ht="18" customHeight="1" x14ac:dyDescent="0.15">
      <c r="A8" s="89"/>
      <c r="B8" s="89"/>
      <c r="C8" s="87"/>
      <c r="D8" s="87"/>
      <c r="E8" s="87"/>
      <c r="F8" s="87"/>
      <c r="G8" s="6"/>
      <c r="H8" s="49" t="s">
        <v>8</v>
      </c>
      <c r="I8" s="49"/>
      <c r="J8" s="50"/>
      <c r="K8" s="49"/>
      <c r="L8" s="49"/>
      <c r="M8" s="49"/>
    </row>
    <row r="9" spans="1:13" ht="18" customHeight="1" x14ac:dyDescent="0.15">
      <c r="A9" s="89"/>
      <c r="B9" s="89"/>
      <c r="C9" s="87"/>
      <c r="D9" s="87"/>
      <c r="E9" s="87"/>
      <c r="F9" s="87"/>
      <c r="G9" s="6"/>
      <c r="H9" s="52" t="s">
        <v>9</v>
      </c>
      <c r="I9" s="52"/>
      <c r="J9" s="53"/>
      <c r="K9" s="52"/>
      <c r="L9" s="52"/>
      <c r="M9" s="52"/>
    </row>
    <row r="10" spans="1:13" ht="18" customHeight="1" x14ac:dyDescent="0.15">
      <c r="A10" s="89"/>
      <c r="B10" s="89"/>
      <c r="C10" s="87"/>
      <c r="D10" s="87"/>
      <c r="E10" s="87"/>
      <c r="F10" s="87"/>
      <c r="G10" s="6"/>
      <c r="H10" s="9" t="s">
        <v>10</v>
      </c>
      <c r="I10" s="7"/>
      <c r="J10" s="8"/>
      <c r="K10" s="7"/>
      <c r="L10" s="7"/>
      <c r="M10" s="7"/>
    </row>
    <row r="11" spans="1:13" ht="18" customHeight="1" x14ac:dyDescent="0.15">
      <c r="A11" s="89"/>
      <c r="B11" s="89"/>
      <c r="C11" s="87"/>
      <c r="D11" s="87"/>
      <c r="E11" s="87"/>
      <c r="F11" s="87"/>
      <c r="G11" s="6"/>
      <c r="H11" s="49" t="s">
        <v>11</v>
      </c>
      <c r="I11" s="49"/>
      <c r="J11" s="50"/>
      <c r="K11" s="49"/>
      <c r="L11" s="49"/>
      <c r="M11" s="49"/>
    </row>
    <row r="12" spans="1:13" ht="16.149999999999999" customHeight="1" x14ac:dyDescent="0.15">
      <c r="A12" s="89"/>
      <c r="B12" s="89"/>
      <c r="C12" s="87"/>
      <c r="D12" s="87"/>
      <c r="E12" s="87"/>
      <c r="F12" s="87"/>
      <c r="G12" s="6"/>
      <c r="H12" s="54" t="s">
        <v>12</v>
      </c>
      <c r="I12" s="55"/>
      <c r="J12" s="56"/>
      <c r="K12" s="55"/>
      <c r="L12" s="55"/>
      <c r="M12" s="55"/>
    </row>
    <row r="13" spans="1:13" ht="13.9" customHeight="1" x14ac:dyDescent="0.15">
      <c r="A13" s="10"/>
      <c r="B13" s="10"/>
      <c r="C13" s="10"/>
      <c r="D13" s="6"/>
      <c r="E13" s="6"/>
      <c r="F13" s="6"/>
      <c r="G13" s="6"/>
      <c r="H13" s="11"/>
      <c r="I13" s="12"/>
      <c r="J13" s="13"/>
      <c r="K13" s="12"/>
      <c r="L13" s="12"/>
      <c r="M13" s="12"/>
    </row>
    <row r="14" spans="1:13" ht="15" customHeight="1" x14ac:dyDescent="0.15">
      <c r="A14" s="4" t="s">
        <v>13</v>
      </c>
      <c r="F14" s="14" t="s">
        <v>14</v>
      </c>
      <c r="G14" s="14"/>
      <c r="H14" s="14"/>
      <c r="I14" s="14"/>
      <c r="J14" s="15"/>
      <c r="K14" s="16"/>
      <c r="L14" s="16"/>
      <c r="M14" s="16"/>
    </row>
    <row r="15" spans="1:13" ht="16.899999999999999" customHeight="1" x14ac:dyDescent="0.15">
      <c r="A15" s="17" t="s">
        <v>15</v>
      </c>
      <c r="B15" s="17"/>
      <c r="C15" s="17"/>
      <c r="D15" s="17"/>
      <c r="E15" s="17"/>
      <c r="F15" s="57" t="s">
        <v>16</v>
      </c>
      <c r="G15" s="57"/>
      <c r="H15" s="57"/>
      <c r="I15" s="57"/>
      <c r="J15" s="58"/>
      <c r="K15" s="57"/>
      <c r="L15" s="57"/>
      <c r="M15" s="57"/>
    </row>
    <row r="16" spans="1:13" ht="15" customHeight="1" x14ac:dyDescent="0.15">
      <c r="A16" s="4" t="s">
        <v>17</v>
      </c>
      <c r="F16" s="59" t="s">
        <v>18</v>
      </c>
      <c r="G16" s="59"/>
      <c r="H16" s="59"/>
      <c r="I16" s="59"/>
      <c r="J16" s="60"/>
      <c r="K16" s="59"/>
      <c r="L16" s="59"/>
      <c r="M16" s="59"/>
    </row>
    <row r="17" spans="1:13" ht="18" customHeight="1" x14ac:dyDescent="0.15">
      <c r="A17" s="57" t="s">
        <v>19</v>
      </c>
      <c r="B17" s="57"/>
      <c r="C17" s="57"/>
      <c r="D17" s="57"/>
      <c r="E17" s="57"/>
      <c r="F17" s="18" t="s">
        <v>20</v>
      </c>
      <c r="G17" s="18"/>
      <c r="H17" s="18"/>
      <c r="I17" s="18"/>
      <c r="J17" s="19"/>
      <c r="K17" s="18"/>
      <c r="L17" s="16"/>
      <c r="M17" s="16"/>
    </row>
    <row r="19" spans="1:13" x14ac:dyDescent="0.15">
      <c r="A19" s="20" t="s">
        <v>21</v>
      </c>
      <c r="B19" s="61" t="s">
        <v>22</v>
      </c>
      <c r="C19" s="61"/>
      <c r="D19" s="61"/>
      <c r="E19" s="61"/>
      <c r="F19" s="61"/>
      <c r="G19" s="61"/>
      <c r="H19" s="61"/>
      <c r="I19" s="62" t="s">
        <v>23</v>
      </c>
      <c r="J19" s="63"/>
      <c r="K19" s="64"/>
      <c r="L19" s="61" t="s">
        <v>24</v>
      </c>
      <c r="M19" s="61"/>
    </row>
    <row r="20" spans="1:13" ht="27" customHeight="1" x14ac:dyDescent="0.15">
      <c r="A20" s="21" t="s">
        <v>25</v>
      </c>
      <c r="B20" s="65" t="s">
        <v>26</v>
      </c>
      <c r="C20" s="65"/>
      <c r="D20" s="65"/>
      <c r="E20" s="65"/>
      <c r="F20" s="65"/>
      <c r="G20" s="65"/>
      <c r="H20" s="65"/>
      <c r="I20" s="66" t="s">
        <v>27</v>
      </c>
      <c r="J20" s="67"/>
      <c r="K20" s="68"/>
      <c r="L20" s="65" t="s">
        <v>28</v>
      </c>
      <c r="M20" s="65"/>
    </row>
    <row r="21" spans="1:13" ht="61.15" customHeight="1" x14ac:dyDescent="0.15">
      <c r="A21" s="82" t="s">
        <v>29</v>
      </c>
      <c r="B21" s="69" t="s">
        <v>30</v>
      </c>
      <c r="C21" s="70"/>
      <c r="D21" s="70"/>
      <c r="E21" s="70"/>
      <c r="F21" s="70"/>
      <c r="G21" s="70"/>
      <c r="H21" s="70"/>
      <c r="I21" s="69" t="s">
        <v>31</v>
      </c>
      <c r="J21" s="71"/>
      <c r="K21" s="70"/>
      <c r="L21" s="72"/>
      <c r="M21" s="73"/>
    </row>
    <row r="22" spans="1:13" ht="31.9" customHeight="1" x14ac:dyDescent="0.15">
      <c r="A22" s="83"/>
      <c r="B22" s="74" t="s">
        <v>32</v>
      </c>
      <c r="C22" s="75"/>
      <c r="D22" s="24">
        <v>12485</v>
      </c>
      <c r="E22" s="25" t="s">
        <v>33</v>
      </c>
      <c r="F22" s="24">
        <v>130</v>
      </c>
      <c r="G22" s="76" t="s">
        <v>34</v>
      </c>
      <c r="H22" s="76"/>
      <c r="I22" s="27" t="s">
        <v>35</v>
      </c>
      <c r="J22" s="28" t="s">
        <v>36</v>
      </c>
      <c r="K22" s="25" t="s">
        <v>37</v>
      </c>
      <c r="L22" s="27" t="s">
        <v>35</v>
      </c>
      <c r="M22" s="29">
        <f>D22*J22</f>
        <v>25968.799999999999</v>
      </c>
    </row>
    <row r="23" spans="1:13" ht="31.9" customHeight="1" x14ac:dyDescent="0.15">
      <c r="A23" s="83"/>
      <c r="B23" s="74" t="s">
        <v>38</v>
      </c>
      <c r="C23" s="75"/>
      <c r="D23" s="24">
        <v>5374</v>
      </c>
      <c r="E23" s="25" t="s">
        <v>33</v>
      </c>
      <c r="F23" s="24">
        <v>60</v>
      </c>
      <c r="G23" s="76" t="s">
        <v>34</v>
      </c>
      <c r="H23" s="76"/>
      <c r="I23" s="27" t="s">
        <v>35</v>
      </c>
      <c r="J23" s="28" t="s">
        <v>39</v>
      </c>
      <c r="K23" s="25" t="s">
        <v>37</v>
      </c>
      <c r="L23" s="27" t="s">
        <v>35</v>
      </c>
      <c r="M23" s="29">
        <f t="shared" ref="M23:M29" si="0">D23*J23</f>
        <v>11500.36</v>
      </c>
    </row>
    <row r="24" spans="1:13" ht="31.9" customHeight="1" x14ac:dyDescent="0.15">
      <c r="A24" s="83"/>
      <c r="B24" s="74" t="s">
        <v>40</v>
      </c>
      <c r="C24" s="75"/>
      <c r="D24" s="24">
        <v>8084</v>
      </c>
      <c r="E24" s="25" t="s">
        <v>33</v>
      </c>
      <c r="F24" s="24">
        <v>87</v>
      </c>
      <c r="G24" s="76" t="s">
        <v>34</v>
      </c>
      <c r="H24" s="76"/>
      <c r="I24" s="27" t="s">
        <v>35</v>
      </c>
      <c r="J24" s="28" t="s">
        <v>41</v>
      </c>
      <c r="K24" s="25" t="s">
        <v>37</v>
      </c>
      <c r="L24" s="27" t="s">
        <v>35</v>
      </c>
      <c r="M24" s="29">
        <f t="shared" si="0"/>
        <v>18027.32</v>
      </c>
    </row>
    <row r="25" spans="1:13" ht="31.9" customHeight="1" x14ac:dyDescent="0.15">
      <c r="A25" s="83"/>
      <c r="B25" s="74" t="s">
        <v>42</v>
      </c>
      <c r="C25" s="75"/>
      <c r="D25" s="24">
        <v>3001</v>
      </c>
      <c r="E25" s="25" t="s">
        <v>33</v>
      </c>
      <c r="F25" s="24">
        <v>34</v>
      </c>
      <c r="G25" s="76" t="s">
        <v>34</v>
      </c>
      <c r="H25" s="76"/>
      <c r="I25" s="27" t="s">
        <v>35</v>
      </c>
      <c r="J25" s="28" t="s">
        <v>43</v>
      </c>
      <c r="K25" s="25" t="s">
        <v>37</v>
      </c>
      <c r="L25" s="27" t="s">
        <v>35</v>
      </c>
      <c r="M25" s="29">
        <f t="shared" si="0"/>
        <v>6872.29</v>
      </c>
    </row>
    <row r="26" spans="1:13" ht="31.9" customHeight="1" x14ac:dyDescent="0.15">
      <c r="A26" s="83"/>
      <c r="B26" s="74" t="s">
        <v>44</v>
      </c>
      <c r="C26" s="75"/>
      <c r="D26" s="24">
        <v>4065</v>
      </c>
      <c r="E26" s="25" t="s">
        <v>33</v>
      </c>
      <c r="F26" s="24">
        <v>43</v>
      </c>
      <c r="G26" s="76" t="s">
        <v>34</v>
      </c>
      <c r="H26" s="76"/>
      <c r="I26" s="27" t="s">
        <v>35</v>
      </c>
      <c r="J26" s="28" t="s">
        <v>45</v>
      </c>
      <c r="K26" s="25" t="s">
        <v>37</v>
      </c>
      <c r="L26" s="27" t="s">
        <v>35</v>
      </c>
      <c r="M26" s="29">
        <f t="shared" si="0"/>
        <v>8008.05</v>
      </c>
    </row>
    <row r="27" spans="1:13" ht="31.9" customHeight="1" x14ac:dyDescent="0.15">
      <c r="A27" s="83"/>
      <c r="B27" s="74" t="s">
        <v>46</v>
      </c>
      <c r="C27" s="75"/>
      <c r="D27" s="24">
        <v>3496</v>
      </c>
      <c r="E27" s="25" t="s">
        <v>33</v>
      </c>
      <c r="F27" s="24">
        <v>36</v>
      </c>
      <c r="G27" s="76" t="s">
        <v>34</v>
      </c>
      <c r="H27" s="76"/>
      <c r="I27" s="27" t="s">
        <v>35</v>
      </c>
      <c r="J27" s="28" t="s">
        <v>59</v>
      </c>
      <c r="K27" s="25" t="s">
        <v>37</v>
      </c>
      <c r="L27" s="27" t="s">
        <v>35</v>
      </c>
      <c r="M27" s="29">
        <f t="shared" si="0"/>
        <v>7096.8799999999992</v>
      </c>
    </row>
    <row r="28" spans="1:13" ht="31.9" customHeight="1" x14ac:dyDescent="0.15">
      <c r="A28" s="83"/>
      <c r="B28" s="74" t="s">
        <v>47</v>
      </c>
      <c r="C28" s="75"/>
      <c r="D28" s="24">
        <v>5936</v>
      </c>
      <c r="E28" s="25" t="s">
        <v>33</v>
      </c>
      <c r="F28" s="24">
        <v>61</v>
      </c>
      <c r="G28" s="76" t="s">
        <v>34</v>
      </c>
      <c r="H28" s="76"/>
      <c r="I28" s="27" t="s">
        <v>35</v>
      </c>
      <c r="J28" s="28" t="s">
        <v>48</v>
      </c>
      <c r="K28" s="25" t="s">
        <v>37</v>
      </c>
      <c r="L28" s="27" t="s">
        <v>35</v>
      </c>
      <c r="M28" s="29">
        <f t="shared" si="0"/>
        <v>11575.2</v>
      </c>
    </row>
    <row r="29" spans="1:13" ht="31.9" customHeight="1" x14ac:dyDescent="0.15">
      <c r="A29" s="83"/>
      <c r="B29" s="74" t="s">
        <v>49</v>
      </c>
      <c r="C29" s="75"/>
      <c r="D29" s="24">
        <v>5396</v>
      </c>
      <c r="E29" s="25" t="s">
        <v>33</v>
      </c>
      <c r="F29" s="24">
        <v>58</v>
      </c>
      <c r="G29" s="76" t="s">
        <v>34</v>
      </c>
      <c r="H29" s="76"/>
      <c r="I29" s="27" t="s">
        <v>35</v>
      </c>
      <c r="J29" s="28" t="s">
        <v>50</v>
      </c>
      <c r="K29" s="25" t="s">
        <v>37</v>
      </c>
      <c r="L29" s="27" t="s">
        <v>35</v>
      </c>
      <c r="M29" s="29">
        <f t="shared" si="0"/>
        <v>8363.7999999999993</v>
      </c>
    </row>
    <row r="30" spans="1:13" ht="33" customHeight="1" x14ac:dyDescent="0.15">
      <c r="A30" s="83"/>
      <c r="B30" s="22" t="s">
        <v>51</v>
      </c>
      <c r="C30" s="23"/>
      <c r="D30" s="24"/>
      <c r="E30" s="25"/>
      <c r="F30" s="30"/>
      <c r="G30" s="26"/>
      <c r="H30" s="26"/>
      <c r="I30" s="27"/>
      <c r="J30" s="31"/>
      <c r="K30" s="25"/>
      <c r="L30" s="27" t="s">
        <v>35</v>
      </c>
      <c r="M30" s="32">
        <v>3285</v>
      </c>
    </row>
    <row r="31" spans="1:13" ht="19.899999999999999" customHeight="1" x14ac:dyDescent="0.15">
      <c r="A31" s="84"/>
      <c r="B31" s="77" t="s">
        <v>52</v>
      </c>
      <c r="C31" s="76"/>
      <c r="D31" s="25"/>
      <c r="E31" s="25"/>
      <c r="F31" s="33"/>
      <c r="G31" s="76"/>
      <c r="H31" s="76"/>
      <c r="I31" s="34"/>
      <c r="J31" s="35"/>
      <c r="K31" s="25"/>
      <c r="L31" s="27" t="s">
        <v>35</v>
      </c>
      <c r="M31" s="32">
        <v>100</v>
      </c>
    </row>
    <row r="32" spans="1:13" ht="48" customHeight="1" x14ac:dyDescent="0.15">
      <c r="A32" s="85"/>
      <c r="B32" s="36" t="s">
        <v>53</v>
      </c>
      <c r="C32" s="37"/>
      <c r="D32" s="38">
        <f>SUM(D22:D31)</f>
        <v>47837</v>
      </c>
      <c r="E32" s="39" t="s">
        <v>33</v>
      </c>
      <c r="F32" s="40">
        <f>SUM(F22:F31)</f>
        <v>509</v>
      </c>
      <c r="G32" s="78" t="s">
        <v>34</v>
      </c>
      <c r="H32" s="79"/>
      <c r="I32" s="41"/>
      <c r="J32" s="42"/>
      <c r="K32" s="39"/>
      <c r="L32" s="36" t="s">
        <v>35</v>
      </c>
      <c r="M32" s="43">
        <f>SUM(M22:M31)</f>
        <v>100797.70000000001</v>
      </c>
    </row>
    <row r="33" spans="1:13" ht="51" customHeight="1" x14ac:dyDescent="0.15">
      <c r="A33" s="80" t="s">
        <v>60</v>
      </c>
      <c r="B33" s="80"/>
      <c r="C33" s="80"/>
      <c r="D33" s="80"/>
      <c r="E33" s="80"/>
      <c r="F33" s="80"/>
      <c r="G33" s="80"/>
      <c r="H33" s="80"/>
      <c r="I33" s="80"/>
      <c r="J33" s="81"/>
      <c r="K33" s="80"/>
      <c r="L33" s="80"/>
      <c r="M33" s="80"/>
    </row>
    <row r="34" spans="1:13" ht="14.25" x14ac:dyDescent="0.15">
      <c r="A34" s="44" t="s">
        <v>54</v>
      </c>
      <c r="J34"/>
    </row>
    <row r="35" spans="1:13" ht="14.25" x14ac:dyDescent="0.15">
      <c r="A35" s="44" t="s">
        <v>55</v>
      </c>
      <c r="J35"/>
    </row>
    <row r="36" spans="1:13" ht="14.25" x14ac:dyDescent="0.15">
      <c r="A36" s="44"/>
      <c r="J36"/>
    </row>
    <row r="37" spans="1:13" ht="14.25" x14ac:dyDescent="0.15">
      <c r="A37" s="44" t="s">
        <v>56</v>
      </c>
      <c r="J37"/>
    </row>
    <row r="38" spans="1:13" ht="14.25" x14ac:dyDescent="0.15">
      <c r="A38" s="44" t="s">
        <v>57</v>
      </c>
      <c r="J38"/>
    </row>
    <row r="39" spans="1:13" ht="14.25" x14ac:dyDescent="0.15">
      <c r="A39" s="44" t="s">
        <v>58</v>
      </c>
      <c r="J39"/>
    </row>
    <row r="40" spans="1:13" x14ac:dyDescent="0.15">
      <c r="J40"/>
    </row>
  </sheetData>
  <mergeCells count="44">
    <mergeCell ref="G32:H32"/>
    <mergeCell ref="A33:M33"/>
    <mergeCell ref="A21:A32"/>
    <mergeCell ref="C5:F12"/>
    <mergeCell ref="A6:B12"/>
    <mergeCell ref="B28:C28"/>
    <mergeCell ref="G28:H28"/>
    <mergeCell ref="B29:C29"/>
    <mergeCell ref="G29:H29"/>
    <mergeCell ref="B31:C31"/>
    <mergeCell ref="G31:H31"/>
    <mergeCell ref="B25:C25"/>
    <mergeCell ref="G25:H25"/>
    <mergeCell ref="B26:C26"/>
    <mergeCell ref="G26:H26"/>
    <mergeCell ref="B27:C27"/>
    <mergeCell ref="G27:H27"/>
    <mergeCell ref="B22:C22"/>
    <mergeCell ref="G22:H22"/>
    <mergeCell ref="B23:C23"/>
    <mergeCell ref="G23:H23"/>
    <mergeCell ref="B24:C24"/>
    <mergeCell ref="G24:H24"/>
    <mergeCell ref="B20:H20"/>
    <mergeCell ref="I20:K20"/>
    <mergeCell ref="L20:M20"/>
    <mergeCell ref="B21:H21"/>
    <mergeCell ref="I21:K21"/>
    <mergeCell ref="L21:M21"/>
    <mergeCell ref="F16:M16"/>
    <mergeCell ref="A17:E17"/>
    <mergeCell ref="B19:H19"/>
    <mergeCell ref="I19:K19"/>
    <mergeCell ref="L19:M19"/>
    <mergeCell ref="H8:M8"/>
    <mergeCell ref="H9:M9"/>
    <mergeCell ref="H11:M11"/>
    <mergeCell ref="H12:M12"/>
    <mergeCell ref="F15:M15"/>
    <mergeCell ref="A1:M1"/>
    <mergeCell ref="A2:M2"/>
    <mergeCell ref="A3:M3"/>
    <mergeCell ref="H6:M6"/>
    <mergeCell ref="H7:M7"/>
  </mergeCells>
  <phoneticPr fontId="20" type="noConversion"/>
  <printOptions horizontalCentered="1"/>
  <pageMargins left="0.35416666666666702" right="0.39305555555555599" top="0.74791666666666701" bottom="0.66874999999999996" header="0.5" footer="0.5"/>
  <pageSetup paperSize="9" scale="8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Chris Green</cp:lastModifiedBy>
  <dcterms:created xsi:type="dcterms:W3CDTF">2019-03-31T09:09:00Z</dcterms:created>
  <dcterms:modified xsi:type="dcterms:W3CDTF">2026-04-15T09:09:50Z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EB23BE5A746F4B31A8F09CB389F7527C_13</vt:lpwstr>
  </property>
  <property fmtid="{D5CDD505-2E9C-101B-9397-08002B2CF9AE}" pid="4" name="commondata">
    <vt:lpwstr>eyJoZGlkIjoiMTI2MjkxOGJmMmQ1YjBmOTYyYmNhMGE5NDA4NDhkNmQifQ==</vt:lpwstr>
  </property>
  <property fmtid="{D5CDD505-2E9C-101B-9397-08002B2CF9AE}" pid="5" name="CalculationRule">
    <vt:i4>0</vt:i4>
  </property>
</Properties>
</file>